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nedrive-global.kpmg.com/personal/eelrayes_kpmg_com/Documents/3- Tahakom Project/2- Tasheer - Current State Assessment/Digitization &amp; Technology/"/>
    </mc:Choice>
  </mc:AlternateContent>
  <xr:revisionPtr revIDLastSave="34" documentId="13_ncr:1_{56A68EFA-CE4B-4B43-83F2-C6065CDFCC6A}" xr6:coauthVersionLast="47" xr6:coauthVersionMax="47" xr10:uidLastSave="{2EED5997-2E5D-4053-B5DB-A7936158929F}"/>
  <bookViews>
    <workbookView xWindow="-110" yWindow="-110" windowWidth="19420" windowHeight="11500" xr2:uid="{A78F4D27-94D2-4570-917F-A5DDE8B45A55}"/>
  </bookViews>
  <sheets>
    <sheet name="Cover" sheetId="1" r:id="rId1"/>
    <sheet name="Entity-Level Require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</calcChain>
</file>

<file path=xl/sharedStrings.xml><?xml version="1.0" encoding="utf-8"?>
<sst xmlns="http://schemas.openxmlformats.org/spreadsheetml/2006/main" count="58" uniqueCount="35">
  <si>
    <t>Project - Entity- wide Diagnostic Assessment Review</t>
  </si>
  <si>
    <t>Initial List of Requirements (LOR)</t>
  </si>
  <si>
    <t>Sr. No.</t>
  </si>
  <si>
    <t>Information Requested</t>
  </si>
  <si>
    <t>Request Date</t>
  </si>
  <si>
    <t>Receiving Date</t>
  </si>
  <si>
    <t>Status</t>
  </si>
  <si>
    <t>Remarks</t>
  </si>
  <si>
    <t>Pending</t>
  </si>
  <si>
    <t>Company -  Saudi Company for Visa and Travel Solutions  (Tasheer)</t>
  </si>
  <si>
    <t>Additional information, documents, or clarifications may be requested during the course of the review based on assessment outcomes, validation discussions, and compliance considerations.</t>
  </si>
  <si>
    <t xml:space="preserve">Approved policies and procedures </t>
  </si>
  <si>
    <t>Approved functional statement defining the department’s roles and responsibilities</t>
  </si>
  <si>
    <t>Approved department objectives aligned with the company’s strategic objectives</t>
  </si>
  <si>
    <t>Approved list of key performance indicators (KPIs) and performance metrics used by the department</t>
  </si>
  <si>
    <t>Approved Job Descriptions (JDs) for department employees</t>
  </si>
  <si>
    <t>Department risk register</t>
  </si>
  <si>
    <t>List of all reports generated by the department (including report type, purpose, frequency, and target audience), with samples of those reports</t>
  </si>
  <si>
    <t>Approved department annual plan / work plan</t>
  </si>
  <si>
    <t>Latest Internal Audit reports relevant to the department and other reports from other assurance providers, if applicable</t>
  </si>
  <si>
    <t>List of external stakeholders, regulators, and oversight bodies the department interacts with</t>
  </si>
  <si>
    <t>List of applicable laws, regulations, and other mandatory compliance obligations monitored by the department in relation to its operations</t>
  </si>
  <si>
    <t>Approved Delegation of Authority (DoA) and/or RACI matrix applicable to the department (if available).</t>
  </si>
  <si>
    <t>Approved organizational structure of the department (showing reporting lines)</t>
  </si>
  <si>
    <t>Documented current-state architecture across business, application, data, and technology layers.</t>
  </si>
  <si>
    <t xml:space="preserve">Defined current and target state architecture </t>
  </si>
  <si>
    <t>Gap analysis between current and target architecture states.</t>
  </si>
  <si>
    <t>Standardized enterprise architecture framework and methodology (e.g., TOGAF or equivalent).</t>
  </si>
  <si>
    <t>Approved architecture standards, principles, and design patterns.</t>
  </si>
  <si>
    <t xml:space="preserve">Integration of EA reviews within solution development and delivery lifecycle. During 2025 </t>
  </si>
  <si>
    <t xml:space="preserve">Formal architecture decision-making and escalation mechanisms. During 2025, if any </t>
  </si>
  <si>
    <t>Performance, scalability, resilience, and availability considerations in architecture design.</t>
  </si>
  <si>
    <t>Security-by-design and privacy-by-design principles embedded in architecture.</t>
  </si>
  <si>
    <t>Architecture documentation management and repository usage.</t>
  </si>
  <si>
    <t>Regular review and update of technology strategy and enterprise architecture artifacts.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</si>
</sst>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Univers 45 Light"/>
    </font>
    <font>
      <b/>
      <sz val="14"/>
      <color theme="1"/>
      <name val="Univers 45 Light"/>
    </font>
    <font>
      <b/>
      <sz val="11"/>
      <color theme="0"/>
      <name val="Univers 45 Light"/>
    </font>
    <font>
      <sz val="11"/>
      <color theme="1"/>
      <name val="Univers 45 Ligh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about:blank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97118</xdr:colOff>
      <xdr:row>6</xdr:row>
      <xdr:rowOff>7469</xdr:rowOff>
    </xdr:from>
    <xdr:to>
      <xdr:col>10</xdr:col>
      <xdr:colOff>260089</xdr:colOff>
      <xdr:row>17</xdr:row>
      <xdr:rowOff>7470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2C7CEC-E9AB-4630-A45E-C41D3B5BBBC8}"/>
            </a:ext>
          </a:extLst>
        </xdr:cNvPr>
        <xdr:cNvSpPr txBox="1"/>
      </xdr:nvSpPr>
      <xdr:spPr>
        <a:xfrm>
          <a:off x="706718" y="1112369"/>
          <a:ext cx="5649371" cy="2025651"/>
        </a:xfrm>
        <a:prstGeom prst="rect">
          <a:avLst/>
        </a:prstGeom>
        <a:noFill/>
      </xdr:spPr>
      <xdr:txBody>
        <a:bodyPr wrap="square" rtlCol="0">
          <a:noAutofit/>
        </a:bodyPr>
        <a:lstStyle/>
        <a:p>
          <a:pPr marL="0" marR="0" algn="ctr">
            <a:buNone/>
          </a:pPr>
          <a:r>
            <a:rPr lang="en-US" sz="28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Entity-Level List Of Requirements</a:t>
          </a:r>
        </a:p>
        <a:p>
          <a:pPr marL="0" marR="0" algn="ctr">
            <a:buNone/>
          </a:pP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Saudi Company for Visa and Travel Solutions  (Tasheer)</a:t>
          </a:r>
        </a:p>
        <a:p>
          <a:pPr marL="0" marR="0" algn="ctr">
            <a:buNone/>
          </a:pP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Digitization &amp; Technology</a:t>
          </a:r>
          <a:br>
            <a:rPr lang="en-US" sz="1600" b="1" kern="1200" baseline="0">
              <a:solidFill>
                <a:srgbClr val="550B43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Tech Strategy &amp; Enterprise Architecture</a:t>
          </a:r>
          <a:b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02 Feb 2026</a:t>
          </a:r>
          <a:endParaRPr lang="en-US" sz="1100" kern="100">
            <a:solidFill>
              <a:srgbClr val="002060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8</xdr:col>
      <xdr:colOff>306294</xdr:colOff>
      <xdr:row>1</xdr:row>
      <xdr:rowOff>14941</xdr:rowOff>
    </xdr:from>
    <xdr:to>
      <xdr:col>10</xdr:col>
      <xdr:colOff>439771</xdr:colOff>
      <xdr:row>4</xdr:row>
      <xdr:rowOff>98149</xdr:rowOff>
    </xdr:to>
    <xdr:pic>
      <xdr:nvPicPr>
        <xdr:cNvPr id="3" name="Picture 2" descr="Saudi Company for Visa and Travel Solutions - Tasheer - Great Place to Work">
          <a:extLst>
            <a:ext uri="{FF2B5EF4-FFF2-40B4-BE49-F238E27FC236}">
              <a16:creationId xmlns:a16="http://schemas.microsoft.com/office/drawing/2014/main" id="{F03969EF-716D-4605-BF1C-8CA293F52B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633" b="27004"/>
        <a:stretch>
          <a:fillRect/>
        </a:stretch>
      </xdr:blipFill>
      <xdr:spPr bwMode="auto">
        <a:xfrm>
          <a:off x="5207000" y="201706"/>
          <a:ext cx="1358653" cy="643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6592</xdr:rowOff>
    </xdr:to>
    <xdr:sp macro="" textlink="">
      <xdr:nvSpPr>
        <xdr:cNvPr id="2" name="AutoShape 4" descr="Image result for arabian drilling compan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D2E52D-8F36-4142-BE88-E4F4594AF5AA}"/>
            </a:ext>
          </a:extLst>
        </xdr:cNvPr>
        <xdr:cNvSpPr>
          <a:spLocks noChangeAspect="1" noChangeArrowheads="1"/>
        </xdr:cNvSpPr>
      </xdr:nvSpPr>
      <xdr:spPr bwMode="auto">
        <a:xfrm>
          <a:off x="6711950" y="184150"/>
          <a:ext cx="304800" cy="355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6592</xdr:rowOff>
    </xdr:to>
    <xdr:sp macro="" textlink="">
      <xdr:nvSpPr>
        <xdr:cNvPr id="3" name="AutoShape 4" descr="Image result for arabian drilling compan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897089-D246-4279-AED3-3118F6D41DC3}"/>
            </a:ext>
          </a:extLst>
        </xdr:cNvPr>
        <xdr:cNvSpPr>
          <a:spLocks noChangeAspect="1" noChangeArrowheads="1"/>
        </xdr:cNvSpPr>
      </xdr:nvSpPr>
      <xdr:spPr bwMode="auto">
        <a:xfrm>
          <a:off x="6711950" y="184150"/>
          <a:ext cx="304800" cy="355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304800" cy="303300"/>
    <xdr:sp macro="" textlink="">
      <xdr:nvSpPr>
        <xdr:cNvPr id="4" name="AutoShape 4" descr="Image result for arabian drilling compan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DB8849-A60D-4362-A631-76F0EAD2B821}"/>
            </a:ext>
          </a:extLst>
        </xdr:cNvPr>
        <xdr:cNvSpPr>
          <a:spLocks noChangeAspect="1" noChangeArrowheads="1"/>
        </xdr:cNvSpPr>
      </xdr:nvSpPr>
      <xdr:spPr bwMode="auto">
        <a:xfrm>
          <a:off x="6711950" y="184150"/>
          <a:ext cx="304800" cy="30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6</xdr:col>
      <xdr:colOff>680903</xdr:colOff>
      <xdr:row>1</xdr:row>
      <xdr:rowOff>76507</xdr:rowOff>
    </xdr:from>
    <xdr:to>
      <xdr:col>6</xdr:col>
      <xdr:colOff>2039556</xdr:colOff>
      <xdr:row>3</xdr:row>
      <xdr:rowOff>138563</xdr:rowOff>
    </xdr:to>
    <xdr:pic>
      <xdr:nvPicPr>
        <xdr:cNvPr id="7" name="Picture 6" descr="Saudi Company for Visa and Travel Solutions - Tasheer - Great Place to Work">
          <a:extLst>
            <a:ext uri="{FF2B5EF4-FFF2-40B4-BE49-F238E27FC236}">
              <a16:creationId xmlns:a16="http://schemas.microsoft.com/office/drawing/2014/main" id="{86BBA62B-4FC1-E1E9-F2F0-B290BB1D74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633" b="27004"/>
        <a:stretch>
          <a:fillRect/>
        </a:stretch>
      </xdr:blipFill>
      <xdr:spPr bwMode="auto">
        <a:xfrm>
          <a:off x="10641987" y="260121"/>
          <a:ext cx="1358653" cy="643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3B71E-4BBD-409C-87BB-D87D52662C70}">
  <sheetPr codeName="Sheet1"/>
  <dimension ref="A1"/>
  <sheetViews>
    <sheetView showGridLines="0" tabSelected="1" zoomScale="85" zoomScaleNormal="85" workbookViewId="0">
      <selection activeCell="G18" sqref="G1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7F64-469E-498E-8760-EABCDD9690F8}">
  <sheetPr codeName="Sheet2"/>
  <dimension ref="B2:G33"/>
  <sheetViews>
    <sheetView showGridLines="0" zoomScale="55" zoomScaleNormal="55" workbookViewId="0">
      <selection activeCell="C26" sqref="C26"/>
    </sheetView>
  </sheetViews>
  <sheetFormatPr defaultRowHeight="14.5" x14ac:dyDescent="0.35"/>
  <cols>
    <col min="1" max="1" width="0.54296875" customWidth="1"/>
    <col min="2" max="2" width="6.54296875" customWidth="1"/>
    <col min="3" max="3" width="78.7265625" customWidth="1"/>
    <col min="4" max="4" width="16.54296875" customWidth="1"/>
    <col min="5" max="5" width="20.453125" customWidth="1"/>
    <col min="6" max="6" width="19.453125" customWidth="1"/>
    <col min="7" max="7" width="31.1796875" customWidth="1"/>
  </cols>
  <sheetData>
    <row r="2" spans="2:7" ht="27.65" customHeight="1" x14ac:dyDescent="0.35">
      <c r="B2" s="1" t="s">
        <v>0</v>
      </c>
      <c r="C2" s="2"/>
      <c r="D2" s="3"/>
      <c r="E2" s="3"/>
      <c r="F2" s="3"/>
      <c r="G2" s="4"/>
    </row>
    <row r="3" spans="2:7" ht="18" x14ac:dyDescent="0.35">
      <c r="B3" s="5" t="s">
        <v>9</v>
      </c>
      <c r="C3" s="6"/>
      <c r="D3" s="6"/>
      <c r="E3" s="6"/>
      <c r="F3" s="6"/>
      <c r="G3" s="6"/>
    </row>
    <row r="4" spans="2:7" ht="18" x14ac:dyDescent="0.35">
      <c r="B4" s="7"/>
      <c r="C4" s="6"/>
      <c r="D4" s="6"/>
      <c r="E4" s="6"/>
      <c r="F4" s="6"/>
      <c r="G4" s="6"/>
    </row>
    <row r="5" spans="2:7" ht="38.15" customHeight="1" x14ac:dyDescent="0.35">
      <c r="B5" s="16" t="s">
        <v>1</v>
      </c>
      <c r="C5" s="16"/>
      <c r="D5" s="16"/>
      <c r="E5" s="16"/>
      <c r="F5" s="16"/>
      <c r="G5" s="16"/>
    </row>
    <row r="6" spans="2:7" ht="28.4" customHeight="1" x14ac:dyDescent="0.35">
      <c r="B6" s="14" t="s">
        <v>2</v>
      </c>
      <c r="C6" s="15" t="s">
        <v>3</v>
      </c>
      <c r="D6" s="15" t="s">
        <v>4</v>
      </c>
      <c r="E6" s="15" t="s">
        <v>5</v>
      </c>
      <c r="F6" s="15" t="s">
        <v>6</v>
      </c>
      <c r="G6" s="15" t="s">
        <v>7</v>
      </c>
    </row>
    <row r="7" spans="2:7" x14ac:dyDescent="0.35">
      <c r="B7" s="8">
        <f>ROW()-6</f>
        <v>1</v>
      </c>
      <c r="C7" s="13" t="s">
        <v>11</v>
      </c>
      <c r="D7" s="10">
        <v>46055</v>
      </c>
      <c r="E7" s="10"/>
      <c r="F7" s="11" t="s">
        <v>8</v>
      </c>
      <c r="G7" s="9"/>
    </row>
    <row r="8" spans="2:7" x14ac:dyDescent="0.35">
      <c r="B8" s="8">
        <f t="shared" ref="B8:B30" si="0">ROW()-6</f>
        <v>2</v>
      </c>
      <c r="C8" s="13" t="s">
        <v>12</v>
      </c>
      <c r="D8" s="10">
        <v>46055</v>
      </c>
      <c r="E8" s="10"/>
      <c r="F8" s="11" t="s">
        <v>8</v>
      </c>
      <c r="G8" s="9"/>
    </row>
    <row r="9" spans="2:7" x14ac:dyDescent="0.35">
      <c r="B9" s="8">
        <f t="shared" si="0"/>
        <v>3</v>
      </c>
      <c r="C9" s="13" t="s">
        <v>13</v>
      </c>
      <c r="D9" s="10">
        <v>46055</v>
      </c>
      <c r="E9" s="10"/>
      <c r="F9" s="11" t="s">
        <v>8</v>
      </c>
      <c r="G9" s="9"/>
    </row>
    <row r="10" spans="2:7" ht="29" x14ac:dyDescent="0.35">
      <c r="B10" s="8">
        <f t="shared" si="0"/>
        <v>4</v>
      </c>
      <c r="C10" s="13" t="s">
        <v>14</v>
      </c>
      <c r="D10" s="10">
        <v>46055</v>
      </c>
      <c r="E10" s="10"/>
      <c r="F10" s="11" t="s">
        <v>8</v>
      </c>
      <c r="G10" s="9"/>
    </row>
    <row r="11" spans="2:7" x14ac:dyDescent="0.35">
      <c r="B11" s="8">
        <f t="shared" si="0"/>
        <v>5</v>
      </c>
      <c r="C11" s="13" t="s">
        <v>15</v>
      </c>
      <c r="D11" s="10">
        <v>46055</v>
      </c>
      <c r="E11" s="10"/>
      <c r="F11" s="11" t="s">
        <v>8</v>
      </c>
      <c r="G11" s="9"/>
    </row>
    <row r="12" spans="2:7" x14ac:dyDescent="0.35">
      <c r="B12" s="8">
        <f t="shared" si="0"/>
        <v>6</v>
      </c>
      <c r="C12" s="13" t="s">
        <v>16</v>
      </c>
      <c r="D12" s="10">
        <v>46055</v>
      </c>
      <c r="E12" s="10"/>
      <c r="F12" s="11" t="s">
        <v>8</v>
      </c>
      <c r="G12" s="9"/>
    </row>
    <row r="13" spans="2:7" ht="29" x14ac:dyDescent="0.35">
      <c r="B13" s="8">
        <f t="shared" si="0"/>
        <v>7</v>
      </c>
      <c r="C13" s="13" t="s">
        <v>17</v>
      </c>
      <c r="D13" s="10">
        <v>46055</v>
      </c>
      <c r="E13" s="10"/>
      <c r="F13" s="11" t="s">
        <v>8</v>
      </c>
      <c r="G13" s="9"/>
    </row>
    <row r="14" spans="2:7" x14ac:dyDescent="0.35">
      <c r="B14" s="8">
        <f t="shared" si="0"/>
        <v>8</v>
      </c>
      <c r="C14" s="13" t="s">
        <v>18</v>
      </c>
      <c r="D14" s="10">
        <v>46055</v>
      </c>
      <c r="E14" s="10"/>
      <c r="F14" s="11" t="s">
        <v>8</v>
      </c>
      <c r="G14" s="9"/>
    </row>
    <row r="15" spans="2:7" ht="29" x14ac:dyDescent="0.35">
      <c r="B15" s="8">
        <f t="shared" si="0"/>
        <v>9</v>
      </c>
      <c r="C15" s="13" t="s">
        <v>19</v>
      </c>
      <c r="D15" s="10">
        <v>46055</v>
      </c>
      <c r="E15" s="10"/>
      <c r="F15" s="11" t="s">
        <v>8</v>
      </c>
      <c r="G15" s="9"/>
    </row>
    <row r="16" spans="2:7" ht="29" x14ac:dyDescent="0.35">
      <c r="B16" s="8">
        <f t="shared" si="0"/>
        <v>10</v>
      </c>
      <c r="C16" s="13" t="s">
        <v>20</v>
      </c>
      <c r="D16" s="10">
        <v>46055</v>
      </c>
      <c r="E16" s="10"/>
      <c r="F16" s="11" t="s">
        <v>8</v>
      </c>
      <c r="G16" s="9"/>
    </row>
    <row r="17" spans="2:7" ht="29" x14ac:dyDescent="0.35">
      <c r="B17" s="8">
        <f t="shared" si="0"/>
        <v>11</v>
      </c>
      <c r="C17" s="13" t="s">
        <v>21</v>
      </c>
      <c r="D17" s="10">
        <v>46055</v>
      </c>
      <c r="E17" s="10"/>
      <c r="F17" s="11" t="s">
        <v>8</v>
      </c>
      <c r="G17" s="9"/>
    </row>
    <row r="18" spans="2:7" ht="29" x14ac:dyDescent="0.35">
      <c r="B18" s="8">
        <f t="shared" si="0"/>
        <v>12</v>
      </c>
      <c r="C18" s="13" t="s">
        <v>22</v>
      </c>
      <c r="D18" s="10">
        <v>46055</v>
      </c>
      <c r="E18" s="10"/>
      <c r="F18" s="11" t="s">
        <v>8</v>
      </c>
      <c r="G18" s="9"/>
    </row>
    <row r="19" spans="2:7" x14ac:dyDescent="0.35">
      <c r="B19" s="8">
        <f t="shared" si="0"/>
        <v>13</v>
      </c>
      <c r="C19" s="13" t="s">
        <v>23</v>
      </c>
      <c r="D19" s="10">
        <v>46055</v>
      </c>
      <c r="E19" s="10"/>
      <c r="F19" s="11" t="s">
        <v>8</v>
      </c>
      <c r="G19" s="9"/>
    </row>
    <row r="20" spans="2:7" x14ac:dyDescent="0.35">
      <c r="B20" s="8">
        <f t="shared" si="0"/>
        <v>14</v>
      </c>
      <c r="C20" s="13" t="s">
        <v>30</v>
      </c>
      <c r="D20" s="10">
        <v>46055</v>
      </c>
      <c r="E20" s="10"/>
      <c r="F20" s="11" t="s">
        <v>8</v>
      </c>
      <c r="G20" s="9"/>
    </row>
    <row r="21" spans="2:7" ht="29" x14ac:dyDescent="0.35">
      <c r="B21" s="8">
        <f t="shared" si="0"/>
        <v>15</v>
      </c>
      <c r="C21" s="13" t="s">
        <v>24</v>
      </c>
      <c r="D21" s="10">
        <v>46055</v>
      </c>
      <c r="E21" s="10"/>
      <c r="F21" s="11" t="s">
        <v>8</v>
      </c>
      <c r="G21" s="9"/>
    </row>
    <row r="22" spans="2:7" x14ac:dyDescent="0.35">
      <c r="B22" s="8">
        <f t="shared" si="0"/>
        <v>16</v>
      </c>
      <c r="C22" s="13" t="s">
        <v>25</v>
      </c>
      <c r="D22" s="10">
        <v>46055</v>
      </c>
      <c r="E22" s="10"/>
      <c r="F22" s="11" t="s">
        <v>8</v>
      </c>
      <c r="G22" s="9"/>
    </row>
    <row r="23" spans="2:7" x14ac:dyDescent="0.35">
      <c r="B23" s="8">
        <f t="shared" si="0"/>
        <v>17</v>
      </c>
      <c r="C23" s="13" t="s">
        <v>26</v>
      </c>
      <c r="D23" s="10">
        <v>46055</v>
      </c>
      <c r="E23" s="10"/>
      <c r="F23" s="11" t="s">
        <v>8</v>
      </c>
      <c r="G23" s="9"/>
    </row>
    <row r="24" spans="2:7" ht="29" x14ac:dyDescent="0.35">
      <c r="B24" s="8">
        <f t="shared" si="0"/>
        <v>18</v>
      </c>
      <c r="C24" s="13" t="s">
        <v>27</v>
      </c>
      <c r="D24" s="10">
        <v>46055</v>
      </c>
      <c r="E24" s="10"/>
      <c r="F24" s="11" t="s">
        <v>8</v>
      </c>
      <c r="G24" s="9"/>
    </row>
    <row r="25" spans="2:7" x14ac:dyDescent="0.35">
      <c r="B25" s="8">
        <f t="shared" si="0"/>
        <v>19</v>
      </c>
      <c r="C25" s="13" t="s">
        <v>28</v>
      </c>
      <c r="D25" s="10">
        <v>46055</v>
      </c>
      <c r="E25" s="10"/>
      <c r="F25" s="11" t="s">
        <v>8</v>
      </c>
      <c r="G25" s="9"/>
    </row>
    <row r="26" spans="2:7" ht="29" x14ac:dyDescent="0.35">
      <c r="B26" s="8">
        <f t="shared" si="0"/>
        <v>20</v>
      </c>
      <c r="C26" s="13" t="s">
        <v>29</v>
      </c>
      <c r="D26" s="10">
        <v>46055</v>
      </c>
      <c r="E26" s="10"/>
      <c r="F26" s="11" t="s">
        <v>8</v>
      </c>
      <c r="G26" s="9"/>
    </row>
    <row r="27" spans="2:7" ht="29" x14ac:dyDescent="0.35">
      <c r="B27" s="8">
        <f t="shared" si="0"/>
        <v>21</v>
      </c>
      <c r="C27" s="13" t="s">
        <v>31</v>
      </c>
      <c r="D27" s="10">
        <v>46055</v>
      </c>
      <c r="E27" s="10"/>
      <c r="F27" s="11" t="s">
        <v>8</v>
      </c>
      <c r="G27" s="9"/>
    </row>
    <row r="28" spans="2:7" x14ac:dyDescent="0.35">
      <c r="B28" s="8">
        <f t="shared" si="0"/>
        <v>22</v>
      </c>
      <c r="C28" s="13" t="s">
        <v>32</v>
      </c>
      <c r="D28" s="10">
        <v>46055</v>
      </c>
      <c r="E28" s="10"/>
      <c r="F28" s="11" t="s">
        <v>8</v>
      </c>
      <c r="G28" s="9"/>
    </row>
    <row r="29" spans="2:7" x14ac:dyDescent="0.35">
      <c r="B29" s="8">
        <f t="shared" si="0"/>
        <v>23</v>
      </c>
      <c r="C29" s="13" t="s">
        <v>33</v>
      </c>
      <c r="D29" s="10">
        <v>46055</v>
      </c>
      <c r="E29" s="10"/>
      <c r="F29" s="11" t="s">
        <v>8</v>
      </c>
      <c r="G29" s="9"/>
    </row>
    <row r="30" spans="2:7" x14ac:dyDescent="0.35">
      <c r="B30" s="8">
        <f t="shared" si="0"/>
        <v>24</v>
      </c>
      <c r="C30" s="13" t="s">
        <v>34</v>
      </c>
      <c r="D30" s="10">
        <v>46055</v>
      </c>
      <c r="E30" s="10"/>
      <c r="F30" s="11" t="s">
        <v>8</v>
      </c>
      <c r="G30" s="9"/>
    </row>
    <row r="33" spans="2:2" x14ac:dyDescent="0.35">
      <c r="B33" s="12" t="s">
        <v>10</v>
      </c>
    </row>
  </sheetData>
  <mergeCells count="1">
    <mergeCell ref="B5:G5"/>
  </mergeCells>
  <dataValidations count="1">
    <dataValidation type="list" allowBlank="1" showInputMessage="1" showErrorMessage="1" sqref="F7:F30" xr:uid="{4DE2D8A6-1B9C-4AA1-B5E5-0E31116A32B4}">
      <formula1>"Pending, Received, In Progress"</formula1>
    </dataValidation>
  </dataValidation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Entity-Level Requirements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Alkhattab, Bayan</dc:creator>
  <cp:lastModifiedBy>Elrayes, Eslam</cp:lastModifiedBy>
  <dcterms:created xsi:type="dcterms:W3CDTF">2026-01-06T10:11:34Z</dcterms:created>
  <dcterms:modified xsi:type="dcterms:W3CDTF">2026-02-02T09:07:00Z</dcterms:modified>
</cp:coreProperties>
</file>